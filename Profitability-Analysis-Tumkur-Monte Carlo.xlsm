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pranav\Coursera Courses\Excel VBA\Course3-Capstone\"/>
    </mc:Choice>
  </mc:AlternateContent>
  <xr:revisionPtr revIDLastSave="0" documentId="13_ncr:1_{7393EE5B-9ED4-44D1-BC7D-A5E2EFDED92E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Histogram" sheetId="101" state="hidden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" i="1" l="1"/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<sst xmlns="http://schemas.openxmlformats.org/spreadsheetml/2006/main" count="28" uniqueCount="23">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</sst>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Data'!$A$1:$A$4</c:f>
              <c:numCache>
                <c:formatCode>General</c:formatCode>
                <c:ptCount val="4"/>
                <c:pt idx="0">
                  <c:v>-30</c:v>
                </c:pt>
                <c:pt idx="1">
                  <c:v>-10</c:v>
                </c:pt>
                <c:pt idx="2">
                  <c:v>10</c:v>
                </c:pt>
                <c:pt idx="3">
                  <c:v>30</c:v>
                </c:pt>
              </c:numCache>
            </c:numRef>
          </c:cat>
          <c:val>
            <c:numRef>
              <c:f>'Histogram Data'!$B$1:$B$4</c:f>
              <c:numCache>
                <c:formatCode>General</c:formatCode>
                <c:ptCount val="4"/>
                <c:pt idx="0">
                  <c:v>11</c:v>
                </c:pt>
                <c:pt idx="1">
                  <c:v>15</c:v>
                </c:pt>
                <c:pt idx="2">
                  <c:v>15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6-4E74-A6A7-F994BF239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1951712"/>
        <c:axId val="932175552"/>
      </c:barChart>
      <c:catAx>
        <c:axId val="106195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75552"/>
        <c:crosses val="autoZero"/>
        <c:auto val="1"/>
        <c:lblAlgn val="ctr"/>
        <c:lblOffset val="100"/>
        <c:noMultiLvlLbl val="0"/>
      </c:catAx>
      <c:valAx>
        <c:axId val="93217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195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4CE84D-47E8-42CE-91F1-3C24086EE0E3}">
  <sheetPr codeName="Chart13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="80" zoomScaleNormal="100" workbookViewId="0">
      <selection activeCell="B9" sqref="B9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77734375" bestFit="1" customWidth="1"/>
    <col min="8" max="8" width="11" customWidth="1"/>
    <col min="9" max="9" width="9.21875" bestFit="1" customWidth="1"/>
    <col min="10" max="10" width="9.109375" bestFit="1" customWidth="1"/>
    <col min="16" max="16" width="0" hidden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-5</v>
      </c>
      <c r="D3" t="s">
        <v>2</v>
      </c>
      <c r="E3" s="15">
        <v>44.9484115991891</v>
      </c>
      <c r="G3" t="s">
        <v>3</v>
      </c>
      <c r="H3" s="5">
        <v>-7.4854644792663292</v>
      </c>
    </row>
    <row r="4" spans="1:16" ht="15" thickBot="1" x14ac:dyDescent="0.35">
      <c r="A4" t="s">
        <v>4</v>
      </c>
      <c r="B4" s="6">
        <v>-9.7631688598547335</v>
      </c>
      <c r="D4" t="s">
        <v>5</v>
      </c>
      <c r="E4" s="7">
        <v>0.45</v>
      </c>
      <c r="G4" t="s">
        <v>6</v>
      </c>
      <c r="H4" s="8">
        <v>0.11791118383407592</v>
      </c>
    </row>
    <row r="5" spans="1:16" x14ac:dyDescent="0.3">
      <c r="A5" t="s">
        <v>7</v>
      </c>
      <c r="B5" s="9">
        <v>-74.517089045391145</v>
      </c>
      <c r="H5" s="10"/>
    </row>
    <row r="6" spans="1:16" x14ac:dyDescent="0.3">
      <c r="A6" t="s">
        <v>8</v>
      </c>
      <c r="B6" s="9">
        <v>-14.01856142282486</v>
      </c>
      <c r="E6" t="s">
        <v>9</v>
      </c>
      <c r="H6" s="10"/>
    </row>
    <row r="7" spans="1:16" ht="15" thickBot="1" x14ac:dyDescent="0.35">
      <c r="A7" t="s">
        <v>10</v>
      </c>
      <c r="B7" s="14">
        <v>-12.247059262297817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-37.258544522695573</v>
      </c>
      <c r="C10" s="11"/>
      <c r="D10" s="11">
        <f>Cland</f>
        <v>-5</v>
      </c>
      <c r="E10" s="11"/>
      <c r="F10" s="11"/>
      <c r="G10" s="11"/>
      <c r="H10" s="11"/>
      <c r="I10" s="11"/>
      <c r="J10" s="11"/>
      <c r="L10">
        <f>B10+D10</f>
        <v>-42.258544522695573</v>
      </c>
      <c r="M10" s="11">
        <f t="shared" ref="M10:M24" si="0">L10/(1+i)^(A10-1)</f>
        <v>-42.258544522695573</v>
      </c>
      <c r="N10" s="11">
        <f>M10</f>
        <v>-42.258544522695573</v>
      </c>
    </row>
    <row r="11" spans="1:16" x14ac:dyDescent="0.3">
      <c r="A11">
        <v>2</v>
      </c>
      <c r="B11" s="11">
        <f>0.5*CTDC</f>
        <v>-37.258544522695573</v>
      </c>
      <c r="C11" s="11">
        <f>WC</f>
        <v>-14.01856142282486</v>
      </c>
      <c r="D11" s="11"/>
      <c r="E11" s="11"/>
      <c r="F11" s="11">
        <f>Cstart</f>
        <v>-12.247059262297817</v>
      </c>
      <c r="G11" s="11"/>
      <c r="H11" s="11"/>
      <c r="I11" s="11"/>
      <c r="J11" s="11"/>
      <c r="L11">
        <f>B11+C11+F11</f>
        <v>-63.52416520781825</v>
      </c>
      <c r="M11" s="11">
        <f t="shared" si="0"/>
        <v>-56.823982196824254</v>
      </c>
      <c r="N11" s="11">
        <f>N10+M11</f>
        <v>-99.082526719519819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-9.7631688598547335</v>
      </c>
      <c r="F12" s="11"/>
      <c r="G12" s="11"/>
      <c r="H12" s="11">
        <f>P12*-CTDC</f>
        <v>10.648492024586394</v>
      </c>
      <c r="I12" s="11">
        <f>0.5*S</f>
        <v>22.47420579959455</v>
      </c>
      <c r="J12" s="11">
        <f>0.5*COS</f>
        <v>-3.7427322396331646</v>
      </c>
      <c r="K12" s="11">
        <f>(1-tax)*(I12-J12-H12)</f>
        <v>8.5626453080527263</v>
      </c>
      <c r="L12" s="11">
        <f t="shared" ref="L12:L23" si="2">K12+H12+E12</f>
        <v>9.4479684727843853</v>
      </c>
      <c r="M12" s="11">
        <f t="shared" si="0"/>
        <v>7.56003547645554</v>
      </c>
      <c r="N12" s="11">
        <f t="shared" ref="N12:N23" si="3">N11+M12</f>
        <v>-91.52249124306428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-9.7631688598547335</v>
      </c>
      <c r="F13" s="11"/>
      <c r="G13" s="11"/>
      <c r="H13" s="11">
        <f t="shared" ref="H13:H19" si="4">P13*-CTDC</f>
        <v>18.249235107216293</v>
      </c>
      <c r="I13" s="11">
        <f>0.8*S</f>
        <v>35.958729279351282</v>
      </c>
      <c r="J13" s="11">
        <f>0.8*COS</f>
        <v>-5.9883715834130635</v>
      </c>
      <c r="K13" s="11">
        <f t="shared" ref="K13:K24" si="5">(1-tax)*(I13-J13-H13)</f>
        <v>13.03382616555143</v>
      </c>
      <c r="L13" s="11">
        <f t="shared" si="2"/>
        <v>21.519892412912991</v>
      </c>
      <c r="M13" s="11">
        <f t="shared" si="0"/>
        <v>15.403456729345997</v>
      </c>
      <c r="N13" s="11">
        <f t="shared" si="3"/>
        <v>-76.119034513718276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-9.7631688598547335</v>
      </c>
      <c r="F14" s="11"/>
      <c r="G14" s="11"/>
      <c r="H14" s="11">
        <f t="shared" si="4"/>
        <v>13.033038874038912</v>
      </c>
      <c r="I14" s="11">
        <f t="shared" ref="I14:I24" si="6">S</f>
        <v>44.9484115991891</v>
      </c>
      <c r="J14" s="11">
        <f t="shared" ref="J14:J24" si="7">COS</f>
        <v>-7.4854644792663292</v>
      </c>
      <c r="K14" s="11">
        <f t="shared" si="5"/>
        <v>21.670460462429087</v>
      </c>
      <c r="L14" s="11">
        <f t="shared" si="2"/>
        <v>24.940330476613266</v>
      </c>
      <c r="M14" s="11">
        <f t="shared" si="0"/>
        <v>15.968826416294025</v>
      </c>
      <c r="N14" s="11">
        <f t="shared" si="3"/>
        <v>-60.150208097424255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-9.7631688598547335</v>
      </c>
      <c r="F15" s="11"/>
      <c r="G15" s="11"/>
      <c r="H15" s="11">
        <f t="shared" si="4"/>
        <v>9.3071844217693531</v>
      </c>
      <c r="I15" s="11">
        <f t="shared" si="6"/>
        <v>44.9484115991891</v>
      </c>
      <c r="J15" s="11">
        <f t="shared" si="7"/>
        <v>-7.4854644792663292</v>
      </c>
      <c r="K15" s="11">
        <f t="shared" si="5"/>
        <v>23.719680411177343</v>
      </c>
      <c r="L15" s="11">
        <f t="shared" si="2"/>
        <v>23.263695973091966</v>
      </c>
      <c r="M15" s="11">
        <f t="shared" si="0"/>
        <v>13.32423269950475</v>
      </c>
      <c r="N15" s="11">
        <f t="shared" si="3"/>
        <v>-46.825975397919507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 t="shared" si="1"/>
        <v>-9.7631688598547335</v>
      </c>
      <c r="F16" s="11"/>
      <c r="G16" s="11"/>
      <c r="H16" s="11">
        <f t="shared" si="4"/>
        <v>6.6543760517534301</v>
      </c>
      <c r="I16" s="11">
        <f t="shared" si="6"/>
        <v>44.9484115991891</v>
      </c>
      <c r="J16" s="11">
        <f t="shared" si="7"/>
        <v>-7.4854644792663292</v>
      </c>
      <c r="K16" s="11">
        <f t="shared" si="5"/>
        <v>25.178725014686101</v>
      </c>
      <c r="L16" s="11">
        <f t="shared" si="2"/>
        <v>22.069932206584799</v>
      </c>
      <c r="M16" s="11">
        <f t="shared" si="0"/>
        <v>11.307255181014815</v>
      </c>
      <c r="N16" s="11">
        <f t="shared" si="3"/>
        <v>-35.51872021690469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-9.7631688598547335</v>
      </c>
      <c r="F17" s="11"/>
      <c r="G17" s="11"/>
      <c r="H17" s="11">
        <f t="shared" si="4"/>
        <v>6.64692434284889</v>
      </c>
      <c r="I17" s="11">
        <f t="shared" si="6"/>
        <v>44.9484115991891</v>
      </c>
      <c r="J17" s="11">
        <f t="shared" si="7"/>
        <v>-7.4854644792663292</v>
      </c>
      <c r="K17" s="11">
        <f t="shared" si="5"/>
        <v>25.182823454583598</v>
      </c>
      <c r="L17" s="11">
        <f t="shared" si="2"/>
        <v>22.066578937577756</v>
      </c>
      <c r="M17" s="11">
        <f t="shared" si="0"/>
        <v>10.113090680947208</v>
      </c>
      <c r="N17" s="11">
        <f t="shared" si="3"/>
        <v>-25.40562953595748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-9.7631688598547335</v>
      </c>
      <c r="F18" s="11"/>
      <c r="G18" s="11"/>
      <c r="H18" s="11">
        <f t="shared" si="4"/>
        <v>6.6543760517534301</v>
      </c>
      <c r="I18" s="11">
        <f t="shared" si="6"/>
        <v>44.9484115991891</v>
      </c>
      <c r="J18" s="11">
        <f t="shared" si="7"/>
        <v>-7.4854644792663292</v>
      </c>
      <c r="K18" s="11">
        <f t="shared" si="5"/>
        <v>25.178725014686101</v>
      </c>
      <c r="L18" s="11">
        <f t="shared" si="2"/>
        <v>22.069932206584799</v>
      </c>
      <c r="M18" s="11">
        <f t="shared" si="0"/>
        <v>9.0477916555340894</v>
      </c>
      <c r="N18" s="11">
        <f t="shared" si="3"/>
        <v>-16.357837880423389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-9.7631688598547335</v>
      </c>
      <c r="F19" s="11"/>
      <c r="G19" s="11"/>
      <c r="H19" s="11">
        <f t="shared" si="4"/>
        <v>3.323462171424445</v>
      </c>
      <c r="I19" s="11">
        <f t="shared" si="6"/>
        <v>44.9484115991891</v>
      </c>
      <c r="J19" s="11">
        <f t="shared" si="7"/>
        <v>-7.4854644792663292</v>
      </c>
      <c r="K19" s="11">
        <f t="shared" si="5"/>
        <v>27.010727648867043</v>
      </c>
      <c r="L19" s="11">
        <f t="shared" si="2"/>
        <v>20.571020960436755</v>
      </c>
      <c r="M19" s="11">
        <f t="shared" si="0"/>
        <v>7.5437995167516378</v>
      </c>
      <c r="N19" s="11">
        <f t="shared" si="3"/>
        <v>-8.8140383636717523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-9.7631688598547335</v>
      </c>
      <c r="F20" s="11"/>
      <c r="G20" s="11"/>
      <c r="H20" s="11"/>
      <c r="I20" s="11">
        <f t="shared" si="6"/>
        <v>44.9484115991891</v>
      </c>
      <c r="J20" s="11">
        <f t="shared" si="7"/>
        <v>-7.4854644792663292</v>
      </c>
      <c r="K20" s="11">
        <f t="shared" si="5"/>
        <v>28.838631843150488</v>
      </c>
      <c r="L20" s="11">
        <f t="shared" si="2"/>
        <v>19.075462983295754</v>
      </c>
      <c r="M20" s="11">
        <f t="shared" si="0"/>
        <v>6.2575175748461556</v>
      </c>
      <c r="N20" s="11">
        <f t="shared" si="3"/>
        <v>-2.5565207888255967</v>
      </c>
    </row>
    <row r="21" spans="1:16" x14ac:dyDescent="0.3">
      <c r="A21">
        <v>12</v>
      </c>
      <c r="B21" s="11"/>
      <c r="C21" s="11"/>
      <c r="D21" s="11"/>
      <c r="E21" s="11">
        <f t="shared" si="1"/>
        <v>-9.7631688598547335</v>
      </c>
      <c r="F21" s="11"/>
      <c r="G21" s="11"/>
      <c r="H21" s="11"/>
      <c r="I21" s="11">
        <f t="shared" si="6"/>
        <v>44.9484115991891</v>
      </c>
      <c r="J21" s="11">
        <f t="shared" si="7"/>
        <v>-7.4854644792663292</v>
      </c>
      <c r="K21" s="11">
        <f t="shared" si="5"/>
        <v>28.838631843150488</v>
      </c>
      <c r="L21" s="11">
        <f t="shared" si="2"/>
        <v>19.075462983295754</v>
      </c>
      <c r="M21" s="11">
        <f t="shared" si="0"/>
        <v>5.5975086977704995</v>
      </c>
      <c r="N21" s="11">
        <f t="shared" si="3"/>
        <v>3.0409879089449028</v>
      </c>
    </row>
    <row r="22" spans="1:16" x14ac:dyDescent="0.3">
      <c r="A22">
        <v>13</v>
      </c>
      <c r="B22" s="11"/>
      <c r="C22" s="11"/>
      <c r="D22" s="11"/>
      <c r="E22" s="11">
        <f t="shared" si="1"/>
        <v>-9.7631688598547335</v>
      </c>
      <c r="F22" s="11"/>
      <c r="G22" s="11"/>
      <c r="H22" s="11"/>
      <c r="I22" s="11">
        <f t="shared" si="6"/>
        <v>44.9484115991891</v>
      </c>
      <c r="J22" s="11">
        <f t="shared" si="7"/>
        <v>-7.4854644792663292</v>
      </c>
      <c r="K22" s="11">
        <f t="shared" si="5"/>
        <v>28.838631843150488</v>
      </c>
      <c r="L22" s="11">
        <f t="shared" si="2"/>
        <v>19.075462983295754</v>
      </c>
      <c r="M22" s="11">
        <f t="shared" si="0"/>
        <v>5.0071139628220243</v>
      </c>
      <c r="N22" s="11">
        <f t="shared" si="3"/>
        <v>8.0481018717669279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-9.7631688598547335</v>
      </c>
      <c r="F23" s="11"/>
      <c r="G23" s="11"/>
      <c r="H23" s="11"/>
      <c r="I23" s="11">
        <f t="shared" si="6"/>
        <v>44.9484115991891</v>
      </c>
      <c r="J23" s="11">
        <f t="shared" si="7"/>
        <v>-7.4854644792663292</v>
      </c>
      <c r="K23" s="11">
        <f t="shared" si="5"/>
        <v>28.838631843150488</v>
      </c>
      <c r="L23" s="11">
        <f t="shared" si="2"/>
        <v>19.075462983295754</v>
      </c>
      <c r="M23" s="11">
        <f t="shared" si="0"/>
        <v>4.4789908493886195</v>
      </c>
      <c r="N23" s="11">
        <f t="shared" si="3"/>
        <v>12.527092721155547</v>
      </c>
    </row>
    <row r="24" spans="1:16" ht="15" thickBot="1" x14ac:dyDescent="0.35">
      <c r="A24">
        <v>15</v>
      </c>
      <c r="B24" s="11"/>
      <c r="C24" s="11">
        <f>-WC</f>
        <v>14.01856142282486</v>
      </c>
      <c r="D24" s="11"/>
      <c r="E24" s="11">
        <f t="shared" si="1"/>
        <v>-9.7631688598547335</v>
      </c>
      <c r="F24" s="11"/>
      <c r="G24" s="11"/>
      <c r="H24" s="11"/>
      <c r="I24" s="11">
        <f t="shared" si="6"/>
        <v>44.9484115991891</v>
      </c>
      <c r="J24" s="11">
        <f t="shared" si="7"/>
        <v>-7.4854644792663292</v>
      </c>
      <c r="K24" s="11">
        <f t="shared" si="5"/>
        <v>28.838631843150488</v>
      </c>
      <c r="L24" s="11">
        <f>C24+K24+G24+E24</f>
        <v>33.09402440612061</v>
      </c>
      <c r="M24" s="11">
        <f t="shared" si="0"/>
        <v>6.9510012961731551</v>
      </c>
      <c r="N24" s="13">
        <f>N23+M24</f>
        <v>19.478094017328701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"/>
  <sheetViews>
    <sheetView workbookViewId="0">
      <selection sqref="A1:B4"/>
    </sheetView>
  </sheetViews>
  <sheetFormatPr defaultRowHeight="14.4" x14ac:dyDescent="0.3"/>
  <sheetData>
    <row r="1" spans="1:2" x14ac:dyDescent="0.3">
      <c r="A1">
        <v>-30</v>
      </c>
      <c r="B1">
        <v>11</v>
      </c>
    </row>
    <row r="2" spans="1:2" x14ac:dyDescent="0.3">
      <c r="A2">
        <v>-10</v>
      </c>
      <c r="B2">
        <v>15</v>
      </c>
    </row>
    <row r="3" spans="1:2" x14ac:dyDescent="0.3">
      <c r="A3">
        <v>10</v>
      </c>
      <c r="B3">
        <v>15</v>
      </c>
    </row>
    <row r="4" spans="1:2" x14ac:dyDescent="0.3">
      <c r="A4">
        <v>30</v>
      </c>
      <c r="B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 tumkur (pranav130196@gmail.com)</dc:creator>
  <cp:lastModifiedBy>Pranav Tumkur</cp:lastModifiedBy>
  <dcterms:created xsi:type="dcterms:W3CDTF">2013-10-29T18:00:12Z</dcterms:created>
  <dcterms:modified xsi:type="dcterms:W3CDTF">2021-01-03T05:34:49Z</dcterms:modified>
</cp:coreProperties>
</file>